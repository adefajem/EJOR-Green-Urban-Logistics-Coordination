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skema-my.sharepoint.com/personal/ade_fajemisin_skema_edu/Documents/Research/URBANE project/Bologna/Paper Code - CP with modified LM cut/output/"/>
    </mc:Choice>
  </mc:AlternateContent>
  <xr:revisionPtr revIDLastSave="12" documentId="11_CEC013FB7E0CF85E3BA653426672FF4E21A0500E" xr6:coauthVersionLast="47" xr6:coauthVersionMax="47" xr10:uidLastSave="{6F409919-7A47-442F-9839-D2C74F16FBE7}"/>
  <bookViews>
    <workbookView xWindow="14400" yWindow="0" windowWidth="14400" windowHeight="15600" xr2:uid="{00000000-000D-0000-FFFF-FFFF00000000}"/>
  </bookViews>
  <sheets>
    <sheet name="Algorithm results" sheetId="1" r:id="rId1"/>
    <sheet name="FM Distance and Emissions" sheetId="2" r:id="rId2"/>
    <sheet name="LM Distance and Emissions" sheetId="3" r:id="rId3"/>
    <sheet name="Assignments to Lockers" sheetId="4" r:id="rId4"/>
    <sheet name="Package Arrival Times" sheetId="5" r:id="rId5"/>
    <sheet name="Follower Objectives" sheetId="6" r:id="rId6"/>
    <sheet name="Noncomp emission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" l="1"/>
  <c r="F8" i="1"/>
  <c r="F9" i="1"/>
  <c r="F10" i="1"/>
  <c r="F11" i="1"/>
</calcChain>
</file>

<file path=xl/sharedStrings.xml><?xml version="1.0" encoding="utf-8"?>
<sst xmlns="http://schemas.openxmlformats.org/spreadsheetml/2006/main" count="48" uniqueCount="40">
  <si>
    <t>Iteration number</t>
  </si>
  <si>
    <t>LB</t>
  </si>
  <si>
    <t>UB</t>
  </si>
  <si>
    <t>FM_emissions</t>
  </si>
  <si>
    <t>LM_emissions</t>
  </si>
  <si>
    <t>Gap (%)</t>
  </si>
  <si>
    <t>runtime(s)</t>
  </si>
  <si>
    <t>First Miler 0</t>
  </si>
  <si>
    <t>First Miler 1</t>
  </si>
  <si>
    <t>Total distance (km)</t>
  </si>
  <si>
    <t>Total CO2 emissions (gCO2eq)</t>
  </si>
  <si>
    <t>Last Miler 0</t>
  </si>
  <si>
    <t>Last Miler 1</t>
  </si>
  <si>
    <t>Locker node</t>
  </si>
  <si>
    <t>Package ID</t>
  </si>
  <si>
    <t>Destination node</t>
  </si>
  <si>
    <t>Arrival Time at Destination (HH:MM)</t>
  </si>
  <si>
    <t>Carried by Last Miler</t>
  </si>
  <si>
    <t>N/A - Depot or Locker node</t>
  </si>
  <si>
    <t>11:00</t>
  </si>
  <si>
    <t>15:00</t>
  </si>
  <si>
    <t>15:05</t>
  </si>
  <si>
    <t>15:30</t>
  </si>
  <si>
    <t>15:37</t>
  </si>
  <si>
    <t>15:44</t>
  </si>
  <si>
    <t>15:49</t>
  </si>
  <si>
    <t>15:52</t>
  </si>
  <si>
    <t>15:55</t>
  </si>
  <si>
    <t>15:59</t>
  </si>
  <si>
    <t>16:02</t>
  </si>
  <si>
    <t>16:03</t>
  </si>
  <si>
    <t>18:00</t>
  </si>
  <si>
    <t>FM 0 Obj 1st iter</t>
  </si>
  <si>
    <t>FM 1 Obj 1st iter</t>
  </si>
  <si>
    <t>LM 0 Obj 1st iter</t>
  </si>
  <si>
    <t>LM 1 Obj 1st iter</t>
  </si>
  <si>
    <t>FM 0 Obj optimal</t>
  </si>
  <si>
    <t>FM 1 Obj optimal</t>
  </si>
  <si>
    <t>LM 0 Obj optimal</t>
  </si>
  <si>
    <t>LM 1 Obj 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</si>
</sst>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B11" sqref="B11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>
        <v>348.39807870992422</v>
      </c>
      <c r="C2">
        <v>431.23941591485101</v>
      </c>
      <c r="D2">
        <v>115.461322574351</v>
      </c>
      <c r="E2">
        <v>315.77809334049999</v>
      </c>
      <c r="F2">
        <v>19.21005690752628</v>
      </c>
      <c r="G2">
        <v>43.764818599913269</v>
      </c>
    </row>
    <row r="3" spans="1:7" x14ac:dyDescent="0.25">
      <c r="A3">
        <v>2</v>
      </c>
      <c r="B3">
        <v>349.14504049192408</v>
      </c>
      <c r="C3">
        <v>431.23941591485101</v>
      </c>
      <c r="D3">
        <v>115.461322574351</v>
      </c>
      <c r="E3">
        <v>315.77809334049999</v>
      </c>
      <c r="F3">
        <v>19.036844127239199</v>
      </c>
      <c r="G3">
        <v>123.0845663000364</v>
      </c>
    </row>
    <row r="4" spans="1:7" x14ac:dyDescent="0.25">
      <c r="A4">
        <v>3</v>
      </c>
      <c r="B4">
        <v>357.08314749975762</v>
      </c>
      <c r="C4">
        <v>431.23941591485101</v>
      </c>
      <c r="D4">
        <v>115.461322574351</v>
      </c>
      <c r="E4">
        <v>315.77809334049999</v>
      </c>
      <c r="F4">
        <v>17.19607848410029</v>
      </c>
      <c r="G4">
        <v>230.8285741000436</v>
      </c>
    </row>
    <row r="5" spans="1:7" x14ac:dyDescent="0.25">
      <c r="A5">
        <v>4</v>
      </c>
      <c r="B5">
        <v>371.02485910901891</v>
      </c>
      <c r="C5">
        <v>431.23941591485101</v>
      </c>
      <c r="D5">
        <v>115.461322574351</v>
      </c>
      <c r="E5">
        <v>315.77809334049999</v>
      </c>
      <c r="F5">
        <v>13.963138475663269</v>
      </c>
      <c r="G5">
        <v>618.12571200006641</v>
      </c>
    </row>
    <row r="6" spans="1:7" x14ac:dyDescent="0.25">
      <c r="A6">
        <v>5</v>
      </c>
      <c r="B6">
        <v>373.71074536302348</v>
      </c>
      <c r="C6">
        <v>431.23941591485101</v>
      </c>
      <c r="D6">
        <v>115.461322574351</v>
      </c>
      <c r="E6">
        <v>315.77809334049999</v>
      </c>
      <c r="F6">
        <v>13.34030898585268</v>
      </c>
      <c r="G6">
        <v>873.69448109995574</v>
      </c>
    </row>
    <row r="7" spans="1:7" x14ac:dyDescent="0.25">
      <c r="A7">
        <v>6</v>
      </c>
      <c r="B7">
        <v>383.11697601999998</v>
      </c>
      <c r="C7">
        <v>431.23941591485101</v>
      </c>
      <c r="D7">
        <v>115.461322574351</v>
      </c>
      <c r="E7">
        <v>315.77809334049999</v>
      </c>
      <c r="F7">
        <f>100*(C7-B7)/C7</f>
        <v>11.159100517925035</v>
      </c>
      <c r="G7">
        <v>1185.5926981999071</v>
      </c>
    </row>
    <row r="8" spans="1:7" x14ac:dyDescent="0.25">
      <c r="A8">
        <v>7</v>
      </c>
      <c r="B8">
        <v>394.05974681411999</v>
      </c>
      <c r="C8">
        <v>431.23941591485101</v>
      </c>
      <c r="D8">
        <v>115.461322574351</v>
      </c>
      <c r="E8">
        <v>315.77809334049999</v>
      </c>
      <c r="F8">
        <f t="shared" ref="F8:F11" si="0">100*(C8-B8)/C8</f>
        <v>8.6215841429653093</v>
      </c>
      <c r="G8">
        <v>1787.8368629999461</v>
      </c>
    </row>
    <row r="9" spans="1:7" x14ac:dyDescent="0.25">
      <c r="A9">
        <v>8</v>
      </c>
      <c r="B9">
        <v>405.82820243489999</v>
      </c>
      <c r="C9">
        <v>431.23941591485101</v>
      </c>
      <c r="D9">
        <v>115.461322574351</v>
      </c>
      <c r="E9">
        <v>315.77809334049999</v>
      </c>
      <c r="F9">
        <f t="shared" si="0"/>
        <v>5.8925999206363144</v>
      </c>
      <c r="G9">
        <v>2389.1673099000468</v>
      </c>
    </row>
    <row r="10" spans="1:7" x14ac:dyDescent="0.25">
      <c r="A10">
        <v>9</v>
      </c>
      <c r="B10">
        <v>428.44765743053</v>
      </c>
      <c r="C10">
        <v>431.23941591485101</v>
      </c>
      <c r="D10">
        <v>115.461322574351</v>
      </c>
      <c r="E10">
        <v>315.77809334049999</v>
      </c>
      <c r="F10">
        <f t="shared" si="0"/>
        <v>0.64738017474549348</v>
      </c>
      <c r="G10">
        <v>2997.441203200025</v>
      </c>
    </row>
    <row r="11" spans="1:7" x14ac:dyDescent="0.25">
      <c r="A11">
        <v>10</v>
      </c>
      <c r="B11">
        <v>435.61604036852998</v>
      </c>
      <c r="C11">
        <v>431.23941591485101</v>
      </c>
      <c r="D11">
        <v>115.461322574351</v>
      </c>
      <c r="E11">
        <v>315.77809334049999</v>
      </c>
      <c r="F11">
        <f t="shared" si="0"/>
        <v>-1.0148943468894651</v>
      </c>
      <c r="G11">
        <v>3601.3792409999301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workbookViewId="0"/>
  </sheetViews>
  <sheetFormatPr defaultRowHeight="15" x14ac:dyDescent="0.25"/>
  <sheetData>
    <row r="1" spans="1:3" x14ac:dyDescent="0.25">
      <c r="B1" s="1" t="s">
        <v>7</v>
      </c>
      <c r="C1" s="1" t="s">
        <v>8</v>
      </c>
    </row>
    <row r="2" spans="1:3" x14ac:dyDescent="0.25">
      <c r="A2" s="1" t="s">
        <v>9</v>
      </c>
      <c r="B2">
        <v>60.05513333333333</v>
      </c>
      <c r="C2">
        <v>42.744266666666668</v>
      </c>
    </row>
    <row r="3" spans="1:3" x14ac:dyDescent="0.25">
      <c r="A3" s="1" t="s">
        <v>10</v>
      </c>
      <c r="B3">
        <v>57.736333398792439</v>
      </c>
      <c r="C3">
        <v>57.724989175558548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workbookViewId="0"/>
  </sheetViews>
  <sheetFormatPr defaultRowHeight="15" x14ac:dyDescent="0.25"/>
  <sheetData>
    <row r="1" spans="1:3" x14ac:dyDescent="0.25">
      <c r="B1" s="1" t="s">
        <v>11</v>
      </c>
      <c r="C1" s="1" t="s">
        <v>12</v>
      </c>
    </row>
    <row r="2" spans="1:3" x14ac:dyDescent="0.25">
      <c r="A2" s="1" t="s">
        <v>9</v>
      </c>
      <c r="B2">
        <v>32.128999999999998</v>
      </c>
      <c r="C2">
        <v>0</v>
      </c>
    </row>
    <row r="3" spans="1:3" x14ac:dyDescent="0.25">
      <c r="A3" s="1" t="s">
        <v>10</v>
      </c>
      <c r="B3">
        <v>315.77809334049999</v>
      </c>
      <c r="C3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"/>
  <sheetViews>
    <sheetView workbookViewId="0"/>
  </sheetViews>
  <sheetFormatPr defaultRowHeight="15" x14ac:dyDescent="0.25"/>
  <sheetData>
    <row r="1" spans="1:2" x14ac:dyDescent="0.25">
      <c r="A1" s="1" t="s">
        <v>13</v>
      </c>
      <c r="B1" s="1" t="s">
        <v>14</v>
      </c>
    </row>
    <row r="2" spans="1:2" x14ac:dyDescent="0.25">
      <c r="A2">
        <v>5</v>
      </c>
      <c r="B2">
        <v>0</v>
      </c>
    </row>
    <row r="3" spans="1:2" x14ac:dyDescent="0.25">
      <c r="A3">
        <v>5</v>
      </c>
      <c r="B3">
        <v>1</v>
      </c>
    </row>
    <row r="4" spans="1:2" x14ac:dyDescent="0.25">
      <c r="A4">
        <v>5</v>
      </c>
      <c r="B4">
        <v>2</v>
      </c>
    </row>
    <row r="5" spans="1:2" x14ac:dyDescent="0.25">
      <c r="A5">
        <v>5</v>
      </c>
      <c r="B5">
        <v>3</v>
      </c>
    </row>
    <row r="6" spans="1:2" x14ac:dyDescent="0.25">
      <c r="A6">
        <v>5</v>
      </c>
      <c r="B6">
        <v>4</v>
      </c>
    </row>
    <row r="7" spans="1:2" x14ac:dyDescent="0.25">
      <c r="A7">
        <v>5</v>
      </c>
      <c r="B7">
        <v>5</v>
      </c>
    </row>
    <row r="8" spans="1:2" x14ac:dyDescent="0.25">
      <c r="A8">
        <v>5</v>
      </c>
      <c r="B8">
        <v>6</v>
      </c>
    </row>
    <row r="9" spans="1:2" x14ac:dyDescent="0.25">
      <c r="A9">
        <v>5</v>
      </c>
      <c r="B9">
        <v>7</v>
      </c>
    </row>
    <row r="10" spans="1:2" x14ac:dyDescent="0.25">
      <c r="A10">
        <v>5</v>
      </c>
      <c r="B10">
        <v>8</v>
      </c>
    </row>
    <row r="11" spans="1:2" x14ac:dyDescent="0.25">
      <c r="A11">
        <v>5</v>
      </c>
      <c r="B11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5"/>
  <sheetViews>
    <sheetView workbookViewId="0"/>
  </sheetViews>
  <sheetFormatPr defaultRowHeight="15" x14ac:dyDescent="0.25"/>
  <sheetData>
    <row r="1" spans="1:4" x14ac:dyDescent="0.25">
      <c r="A1" s="1" t="s">
        <v>14</v>
      </c>
      <c r="B1" s="1" t="s">
        <v>15</v>
      </c>
      <c r="C1" s="1" t="s">
        <v>16</v>
      </c>
      <c r="D1" s="1" t="s">
        <v>17</v>
      </c>
    </row>
    <row r="2" spans="1:4" x14ac:dyDescent="0.25">
      <c r="A2" t="s">
        <v>18</v>
      </c>
      <c r="B2">
        <v>2</v>
      </c>
      <c r="C2" t="s">
        <v>19</v>
      </c>
      <c r="D2">
        <v>0</v>
      </c>
    </row>
    <row r="3" spans="1:4" x14ac:dyDescent="0.25">
      <c r="A3" t="s">
        <v>18</v>
      </c>
      <c r="B3">
        <v>5</v>
      </c>
      <c r="C3" t="s">
        <v>20</v>
      </c>
      <c r="D3">
        <v>0</v>
      </c>
    </row>
    <row r="4" spans="1:4" x14ac:dyDescent="0.25">
      <c r="A4">
        <v>0</v>
      </c>
      <c r="B4">
        <v>8</v>
      </c>
      <c r="C4" t="s">
        <v>21</v>
      </c>
      <c r="D4">
        <v>0</v>
      </c>
    </row>
    <row r="5" spans="1:4" x14ac:dyDescent="0.25">
      <c r="A5">
        <v>8</v>
      </c>
      <c r="B5">
        <v>16</v>
      </c>
      <c r="C5" t="s">
        <v>22</v>
      </c>
      <c r="D5">
        <v>0</v>
      </c>
    </row>
    <row r="6" spans="1:4" x14ac:dyDescent="0.25">
      <c r="A6">
        <v>3</v>
      </c>
      <c r="B6">
        <v>11</v>
      </c>
      <c r="C6" t="s">
        <v>22</v>
      </c>
      <c r="D6">
        <v>0</v>
      </c>
    </row>
    <row r="7" spans="1:4" x14ac:dyDescent="0.25">
      <c r="A7" t="s">
        <v>18</v>
      </c>
      <c r="B7">
        <v>7</v>
      </c>
      <c r="C7" t="s">
        <v>23</v>
      </c>
      <c r="D7">
        <v>0</v>
      </c>
    </row>
    <row r="8" spans="1:4" x14ac:dyDescent="0.25">
      <c r="A8">
        <v>1</v>
      </c>
      <c r="B8">
        <v>9</v>
      </c>
      <c r="C8" t="s">
        <v>24</v>
      </c>
      <c r="D8">
        <v>0</v>
      </c>
    </row>
    <row r="9" spans="1:4" x14ac:dyDescent="0.25">
      <c r="A9">
        <v>2</v>
      </c>
      <c r="B9">
        <v>10</v>
      </c>
      <c r="C9" t="s">
        <v>25</v>
      </c>
      <c r="D9">
        <v>0</v>
      </c>
    </row>
    <row r="10" spans="1:4" x14ac:dyDescent="0.25">
      <c r="A10">
        <v>7</v>
      </c>
      <c r="B10">
        <v>15</v>
      </c>
      <c r="C10" t="s">
        <v>26</v>
      </c>
      <c r="D10">
        <v>0</v>
      </c>
    </row>
    <row r="11" spans="1:4" x14ac:dyDescent="0.25">
      <c r="A11">
        <v>4</v>
      </c>
      <c r="B11">
        <v>12</v>
      </c>
      <c r="C11" t="s">
        <v>27</v>
      </c>
      <c r="D11">
        <v>0</v>
      </c>
    </row>
    <row r="12" spans="1:4" x14ac:dyDescent="0.25">
      <c r="A12" t="s">
        <v>18</v>
      </c>
      <c r="B12">
        <v>6</v>
      </c>
      <c r="C12" t="s">
        <v>28</v>
      </c>
      <c r="D12">
        <v>0</v>
      </c>
    </row>
    <row r="13" spans="1:4" x14ac:dyDescent="0.25">
      <c r="A13">
        <v>9</v>
      </c>
      <c r="B13">
        <v>17</v>
      </c>
      <c r="C13" t="s">
        <v>29</v>
      </c>
      <c r="D13">
        <v>0</v>
      </c>
    </row>
    <row r="14" spans="1:4" x14ac:dyDescent="0.25">
      <c r="A14">
        <v>5</v>
      </c>
      <c r="B14">
        <v>13</v>
      </c>
      <c r="C14" t="s">
        <v>30</v>
      </c>
      <c r="D14">
        <v>0</v>
      </c>
    </row>
    <row r="15" spans="1:4" x14ac:dyDescent="0.25">
      <c r="A15">
        <v>6</v>
      </c>
      <c r="B15">
        <v>14</v>
      </c>
      <c r="C15" t="s">
        <v>31</v>
      </c>
      <c r="D15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"/>
  <sheetViews>
    <sheetView workbookViewId="0"/>
  </sheetViews>
  <sheetFormatPr defaultRowHeight="15" x14ac:dyDescent="0.25"/>
  <sheetData>
    <row r="1" spans="1:8" x14ac:dyDescent="0.2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</row>
    <row r="2" spans="1:8" x14ac:dyDescent="0.25">
      <c r="A2">
        <v>60.05513333333333</v>
      </c>
      <c r="B2">
        <v>42.744266666666668</v>
      </c>
      <c r="C2">
        <v>32.128999999999998</v>
      </c>
      <c r="D2">
        <v>0</v>
      </c>
      <c r="E2">
        <v>60.05513333333333</v>
      </c>
      <c r="F2">
        <v>42.744266666666668</v>
      </c>
      <c r="G2">
        <v>32.128999999999998</v>
      </c>
      <c r="H2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10</v>
      </c>
    </row>
    <row r="2" spans="1:1" x14ac:dyDescent="0.25">
      <c r="A2">
        <v>431.23941591485101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9860db96-b53f-4bd7-8137-e09357cab268}" enabled="1" method="Standard" siteId="{b78d03e6-f6a2-4cff-83be-847d1a6453f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Algorithm results</vt:lpstr>
      <vt:lpstr>FM Distance and Emissions</vt:lpstr>
      <vt:lpstr>LM Distance and Emissions</vt:lpstr>
      <vt:lpstr>Assignments to Lockers</vt:lpstr>
      <vt:lpstr>Package Arrival Times</vt:lpstr>
      <vt:lpstr>Follower Objectives</vt:lpstr>
      <vt:lpstr>Noncomp emissions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FAJEMISIN Ade</cp:lastModifiedBy>
  <dcterms:created xsi:type="dcterms:W3CDTF">2024-11-02T10:55:49Z</dcterms:created>
  <dcterms:modified xsi:type="dcterms:W3CDTF">2024-11-04T10:03:38Z</dcterms:modified>
</cp:coreProperties>
</file>